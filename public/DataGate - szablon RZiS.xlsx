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ł\Desktop\DataGate - bilanse\"/>
    </mc:Choice>
  </mc:AlternateContent>
  <xr:revisionPtr revIDLastSave="0" documentId="13_ncr:1_{CF10601C-CDFA-4F43-A582-E973B34996BD}" xr6:coauthVersionLast="47" xr6:coauthVersionMax="47" xr10:uidLastSave="{00000000-0000-0000-0000-000000000000}"/>
  <bookViews>
    <workbookView xWindow="-120" yWindow="-120" windowWidth="29040" windowHeight="15840" tabRatio="602" xr2:uid="{2791C389-C99C-4E3B-A797-7F2915AFE8B9}"/>
  </bookViews>
  <sheets>
    <sheet name="Rachunek zysków i strat" sheetId="2" r:id="rId1"/>
  </sheets>
  <definedNames>
    <definedName name="_xlnm.Print_Area" localSheetId="0">'Rachunek zysków i strat'!$B$3:$M$36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26" i="2"/>
  <c r="E13" i="2"/>
  <c r="E8" i="2"/>
  <c r="E22" i="2" s="1"/>
  <c r="E25" i="2" s="1"/>
  <c r="E32" i="2" s="1"/>
  <c r="E34" i="2" s="1"/>
  <c r="E36" i="2" s="1"/>
  <c r="E7" i="2"/>
  <c r="M29" i="2"/>
  <c r="L29" i="2"/>
  <c r="K29" i="2"/>
  <c r="J29" i="2"/>
  <c r="I29" i="2"/>
  <c r="H29" i="2"/>
  <c r="G29" i="2"/>
  <c r="M26" i="2"/>
  <c r="L26" i="2"/>
  <c r="K26" i="2"/>
  <c r="J26" i="2"/>
  <c r="I26" i="2"/>
  <c r="H26" i="2"/>
  <c r="G26" i="2"/>
  <c r="F29" i="2"/>
  <c r="F26" i="2"/>
  <c r="M8" i="2"/>
  <c r="M22" i="2" s="1"/>
  <c r="M25" i="2" s="1"/>
  <c r="M32" i="2" s="1"/>
  <c r="M34" i="2" s="1"/>
  <c r="M36" i="2" s="1"/>
  <c r="L8" i="2"/>
  <c r="K8" i="2"/>
  <c r="K22" i="2" s="1"/>
  <c r="K25" i="2" s="1"/>
  <c r="K32" i="2" s="1"/>
  <c r="K34" i="2" s="1"/>
  <c r="K36" i="2" s="1"/>
  <c r="J8" i="2"/>
  <c r="J22" i="2" s="1"/>
  <c r="J25" i="2" s="1"/>
  <c r="J32" i="2" s="1"/>
  <c r="J34" i="2" s="1"/>
  <c r="J36" i="2" s="1"/>
  <c r="I8" i="2"/>
  <c r="H8" i="2"/>
  <c r="G8" i="2"/>
  <c r="F8" i="2"/>
  <c r="M7" i="2"/>
  <c r="L7" i="2"/>
  <c r="K7" i="2"/>
  <c r="J7" i="2"/>
  <c r="I7" i="2"/>
  <c r="H7" i="2"/>
  <c r="G7" i="2"/>
  <c r="F7" i="2"/>
  <c r="G13" i="2"/>
  <c r="G22" i="2" s="1"/>
  <c r="G25" i="2" s="1"/>
  <c r="G32" i="2" s="1"/>
  <c r="G34" i="2" s="1"/>
  <c r="G36" i="2" s="1"/>
  <c r="H13" i="2"/>
  <c r="H22" i="2" s="1"/>
  <c r="H25" i="2" s="1"/>
  <c r="H32" i="2" s="1"/>
  <c r="H34" i="2" s="1"/>
  <c r="H36" i="2" s="1"/>
  <c r="I13" i="2"/>
  <c r="I22" i="2" s="1"/>
  <c r="I25" i="2" s="1"/>
  <c r="I32" i="2" s="1"/>
  <c r="I34" i="2" s="1"/>
  <c r="I36" i="2" s="1"/>
  <c r="J13" i="2"/>
  <c r="K13" i="2"/>
  <c r="L13" i="2"/>
  <c r="L22" i="2" s="1"/>
  <c r="L25" i="2" s="1"/>
  <c r="L32" i="2" s="1"/>
  <c r="L34" i="2" s="1"/>
  <c r="L36" i="2" s="1"/>
  <c r="M13" i="2"/>
  <c r="F13" i="2"/>
  <c r="F22" i="2" s="1"/>
  <c r="F25" i="2" s="1"/>
  <c r="F32" i="2" s="1"/>
  <c r="F34" i="2" s="1"/>
  <c r="F36" i="2" s="1"/>
</calcChain>
</file>

<file path=xl/sharedStrings.xml><?xml version="1.0" encoding="utf-8"?>
<sst xmlns="http://schemas.openxmlformats.org/spreadsheetml/2006/main" count="53" uniqueCount="50">
  <si>
    <t>Lp.</t>
  </si>
  <si>
    <t>Wyszczególnienie</t>
  </si>
  <si>
    <t>Nr wiersza</t>
  </si>
  <si>
    <t>Okres poprzedzający T -1</t>
  </si>
  <si>
    <t>Okres bieżący T-0</t>
  </si>
  <si>
    <t>Okres prognozowany T+1</t>
  </si>
  <si>
    <t>Okres prognozowany T+2</t>
  </si>
  <si>
    <t>Okres prognozowany T+3</t>
  </si>
  <si>
    <t>Okres prognozowany T+4</t>
  </si>
  <si>
    <t>Okres prognozowany T+5</t>
  </si>
  <si>
    <t>Okres prognozowany T+6</t>
  </si>
  <si>
    <t>(w tys. zł)</t>
  </si>
  <si>
    <t>Data:</t>
  </si>
  <si>
    <t>A.</t>
  </si>
  <si>
    <t>I.</t>
  </si>
  <si>
    <t>B.</t>
  </si>
  <si>
    <t>Rachunek zysków i strat</t>
  </si>
  <si>
    <t>1. Przychody netto ze sprzedaży produktów</t>
  </si>
  <si>
    <t>2. Zmiana stanu produktów; zwiększenie (+), zmniejszenie (-)</t>
  </si>
  <si>
    <t>3. Koszt wytworzenia produktów na własne potrzeby jednostki</t>
  </si>
  <si>
    <t>4. Przychody netto ze sprzedaży towarów i materiałów</t>
  </si>
  <si>
    <t>KOSZTY DZIAŁALNOŚCI OPERACYJNEJ (w 07 do 13)</t>
  </si>
  <si>
    <t>1. Amortyzacja</t>
  </si>
  <si>
    <t>2. Zużycie materiałów i energii</t>
  </si>
  <si>
    <t>3. Usługi obce</t>
  </si>
  <si>
    <t>4. Podatki i opłaty</t>
  </si>
  <si>
    <t>5. Wynagrodzenie</t>
  </si>
  <si>
    <t>6. Ubezpieczenia społeczne i inne świadczenia</t>
  </si>
  <si>
    <t>7. Pozostałe koszty rodzajowe</t>
  </si>
  <si>
    <t>8. Wartość sprzedanych towarów i materiałów</t>
  </si>
  <si>
    <t>C.</t>
  </si>
  <si>
    <t>ZYSK (STRATA) ZE SPRZEDAŻY (w 01-06)</t>
  </si>
  <si>
    <t>1. Pozostałe przychody operacyjne</t>
  </si>
  <si>
    <t xml:space="preserve">2. Pozostałe koszty operacyjne </t>
  </si>
  <si>
    <t>D.</t>
  </si>
  <si>
    <t>ZYSK (STRATA) Z DZIAŁALNOŚCI OPERACYJNEJ (w 15+16-17)</t>
  </si>
  <si>
    <t>E.</t>
  </si>
  <si>
    <t>Przychody finansowe (w 20+21)</t>
  </si>
  <si>
    <t xml:space="preserve">1. Odsetki </t>
  </si>
  <si>
    <t>2. Pozostałe</t>
  </si>
  <si>
    <t>Koszty finansowe (w 23+24)</t>
  </si>
  <si>
    <t>G.</t>
  </si>
  <si>
    <t>ZYSK (STRATA) Z DZIAŁALNOŚCI GOSPODARCZEJ (w 18+19-22)</t>
  </si>
  <si>
    <t xml:space="preserve">1. Wynik zdarzeń nadzwyczajnych </t>
  </si>
  <si>
    <t>H.</t>
  </si>
  <si>
    <t>ZYSK (STRATA) BRUTTO (w 25+26)</t>
  </si>
  <si>
    <t>1. Podatek dochodowy i inne obowiązkowe obciążenia*</t>
  </si>
  <si>
    <t>ZYSK (STRATA) NETTO (w 27-28)</t>
  </si>
  <si>
    <t>PRZYCHODY NETTO ZE SPRZEDAŻY I ZRÓWNANE Z NIMI (w 02+03+04+05)</t>
  </si>
  <si>
    <t>Okres poprzedzający T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</si>
</sst>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2">
    <font>
      <sz val="11"/>
      <color theme="1"/>
      <name val="Czcionka tekstu podstawowego"/>
      <family val="2"/>
      <charset val="238"/>
    </font>
    <font>
      <b/>
      <sz val="16"/>
      <color theme="1"/>
      <name val="Czcionka tekstu podstawowego"/>
      <charset val="238"/>
    </font>
    <font>
      <b/>
      <sz val="11"/>
      <color theme="1"/>
      <name val="Czcionka tekstu podstawowego"/>
      <charset val="238"/>
    </font>
    <font>
      <b/>
      <sz val="6"/>
      <color theme="1"/>
      <name val="Czcionka tekstu podstawowego"/>
      <charset val="238"/>
    </font>
    <font>
      <b/>
      <sz val="8"/>
      <color theme="1"/>
      <name val="Czcionka tekstu podstawowego"/>
      <charset val="238"/>
    </font>
    <font>
      <b/>
      <sz val="10"/>
      <color theme="1"/>
      <name val="Czcionka tekstu podstawowego"/>
      <charset val="238"/>
    </font>
    <font>
      <sz val="8.5"/>
      <color theme="1"/>
      <name val="Calibri"/>
      <family val="2"/>
      <charset val="238"/>
      <scheme val="minor"/>
    </font>
    <font>
      <sz val="8.5"/>
      <name val="Calibri"/>
      <family val="2"/>
      <charset val="238"/>
      <scheme val="minor"/>
    </font>
    <font>
      <b/>
      <sz val="8.5"/>
      <color theme="1"/>
      <name val="Calibri"/>
      <family val="2"/>
      <charset val="238"/>
      <scheme val="minor"/>
    </font>
    <font>
      <b/>
      <sz val="8.5"/>
      <name val="Calibri"/>
      <family val="2"/>
      <charset val="238"/>
      <scheme val="minor"/>
    </font>
    <font>
      <sz val="8.5"/>
      <color theme="1"/>
      <name val="Calibri"/>
      <family val="2"/>
      <charset val="238"/>
    </font>
    <font>
      <b/>
      <sz val="8.5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7" fillId="2" borderId="5" xfId="0" applyNumberFormat="1" applyFont="1" applyFill="1" applyBorder="1" applyAlignment="1" applyProtection="1">
      <alignment horizontal="right" vertical="center"/>
      <protection locked="0"/>
    </xf>
    <xf numFmtId="4" fontId="7" fillId="2" borderId="6" xfId="0" applyNumberFormat="1" applyFont="1" applyFill="1" applyBorder="1" applyAlignment="1" applyProtection="1">
      <alignment horizontal="right" vertical="center"/>
      <protection locked="0"/>
    </xf>
    <xf numFmtId="4" fontId="6" fillId="2" borderId="5" xfId="0" applyNumberFormat="1" applyFont="1" applyFill="1" applyBorder="1" applyProtection="1">
      <protection locked="0"/>
    </xf>
    <xf numFmtId="4" fontId="6" fillId="2" borderId="6" xfId="0" applyNumberFormat="1" applyFont="1" applyFill="1" applyBorder="1" applyProtection="1">
      <protection locked="0"/>
    </xf>
    <xf numFmtId="164" fontId="8" fillId="0" borderId="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right" vertical="center"/>
    </xf>
    <xf numFmtId="4" fontId="9" fillId="0" borderId="4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center" vertical="center" wrapText="1"/>
    </xf>
    <xf numFmtId="4" fontId="9" fillId="0" borderId="5" xfId="0" applyNumberFormat="1" applyFont="1" applyBorder="1" applyAlignment="1">
      <alignment horizontal="right" vertical="center"/>
    </xf>
    <xf numFmtId="4" fontId="9" fillId="0" borderId="6" xfId="0" applyNumberFormat="1" applyFont="1" applyBorder="1" applyAlignment="1">
      <alignment horizontal="right" vertical="center"/>
    </xf>
    <xf numFmtId="4" fontId="8" fillId="0" borderId="5" xfId="0" applyNumberFormat="1" applyFont="1" applyBorder="1"/>
    <xf numFmtId="4" fontId="8" fillId="0" borderId="6" xfId="0" applyNumberFormat="1" applyFont="1" applyBorder="1"/>
    <xf numFmtId="4" fontId="8" fillId="0" borderId="12" xfId="0" applyNumberFormat="1" applyFont="1" applyBorder="1"/>
    <xf numFmtId="4" fontId="8" fillId="0" borderId="13" xfId="0" applyNumberFormat="1" applyFont="1" applyBorder="1"/>
    <xf numFmtId="4" fontId="10" fillId="2" borderId="18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 wrapText="1"/>
    </xf>
    <xf numFmtId="4" fontId="11" fillId="0" borderId="19" xfId="0" applyNumberFormat="1" applyFont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 wrapText="1"/>
    </xf>
    <xf numFmtId="4" fontId="11" fillId="0" borderId="18" xfId="0" applyNumberFormat="1" applyFont="1" applyBorder="1" applyAlignment="1">
      <alignment horizontal="right" vertical="center" wrapText="1"/>
    </xf>
    <xf numFmtId="0" fontId="10" fillId="0" borderId="9" xfId="0" applyFont="1" applyBorder="1" applyAlignment="1">
      <alignment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1" fillId="0" borderId="20" xfId="0" applyFont="1" applyBorder="1" applyAlignment="1">
      <alignment horizontal="center" vertical="center" wrapText="1"/>
    </xf>
    <xf numFmtId="4" fontId="11" fillId="0" borderId="20" xfId="0" applyNumberFormat="1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A1A7-C822-4AC9-80C4-B4690D4B945B}">
  <dimension ref="A1:M36"/>
  <sheetViews>
    <sheetView tabSelected="1" workbookViewId="0">
      <selection activeCell="O6" sqref="O6"/>
    </sheetView>
  </sheetViews>
  <sheetFormatPr defaultRowHeight="14.25"/>
  <cols>
    <col min="1" max="1" width="2.625" customWidth="1"/>
    <col min="2" max="2" width="3.625" customWidth="1"/>
    <col min="3" max="3" width="41.625" customWidth="1"/>
    <col min="4" max="4" width="4.625" customWidth="1"/>
    <col min="5" max="7" width="10.625" customWidth="1"/>
    <col min="8" max="13" width="11.12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25">
      <c r="A3" s="1"/>
      <c r="B3" s="2" t="s">
        <v>16</v>
      </c>
      <c r="K3" s="3" t="s">
        <v>11</v>
      </c>
    </row>
    <row r="4" spans="1:13">
      <c r="A4" s="1"/>
    </row>
    <row r="5" spans="1:13" ht="15" thickBot="1">
      <c r="A5" s="1"/>
    </row>
    <row r="6" spans="1:13" ht="33.75">
      <c r="A6" s="1"/>
      <c r="B6" s="40" t="s">
        <v>0</v>
      </c>
      <c r="C6" s="41" t="s">
        <v>1</v>
      </c>
      <c r="D6" s="4" t="s">
        <v>2</v>
      </c>
      <c r="E6" s="5" t="s">
        <v>49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6" t="s">
        <v>10</v>
      </c>
    </row>
    <row r="7" spans="1:13" ht="15" customHeight="1" thickBot="1">
      <c r="A7" s="1"/>
      <c r="B7" s="42"/>
      <c r="C7" s="43"/>
      <c r="D7" s="7" t="s">
        <v>12</v>
      </c>
      <c r="E7" s="16" t="e">
        <f>#REF!</f>
        <v>#REF!</v>
      </c>
      <c r="F7" s="12" t="e">
        <f>#REF!</f>
        <v>#REF!</v>
      </c>
      <c r="G7" s="12" t="e">
        <f>#REF!</f>
        <v>#REF!</v>
      </c>
      <c r="H7" s="12" t="e">
        <f>#REF!</f>
        <v>#REF!</v>
      </c>
      <c r="I7" s="12" t="e">
        <f>#REF!</f>
        <v>#REF!</v>
      </c>
      <c r="J7" s="12" t="e">
        <f>#REF!</f>
        <v>#REF!</v>
      </c>
      <c r="K7" s="12" t="e">
        <f>#REF!</f>
        <v>#REF!</v>
      </c>
      <c r="L7" s="12" t="e">
        <f>#REF!</f>
        <v>#REF!</v>
      </c>
      <c r="M7" s="13" t="e">
        <f>#REF!</f>
        <v>#REF!</v>
      </c>
    </row>
    <row r="8" spans="1:13" ht="22.5">
      <c r="A8" s="1"/>
      <c r="B8" s="24" t="s">
        <v>13</v>
      </c>
      <c r="C8" s="25" t="s">
        <v>48</v>
      </c>
      <c r="D8" s="26">
        <v>1</v>
      </c>
      <c r="E8" s="27">
        <f>E9+E10+E11+E12</f>
        <v>0</v>
      </c>
      <c r="F8" s="14">
        <f>F9+F10+F11+F12</f>
        <v>0</v>
      </c>
      <c r="G8" s="14">
        <f t="shared" ref="G8:M8" si="0">G9+G10+G11+G12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 t="shared" si="0"/>
        <v>0</v>
      </c>
    </row>
    <row r="9" spans="1:13">
      <c r="A9" s="1"/>
      <c r="B9" s="28"/>
      <c r="C9" s="29" t="s">
        <v>17</v>
      </c>
      <c r="D9" s="30">
        <v>2</v>
      </c>
      <c r="E9" s="23"/>
      <c r="F9" s="8"/>
      <c r="G9" s="8"/>
      <c r="H9" s="8"/>
      <c r="I9" s="8"/>
      <c r="J9" s="8"/>
      <c r="K9" s="8"/>
      <c r="L9" s="8"/>
      <c r="M9" s="9"/>
    </row>
    <row r="10" spans="1:13">
      <c r="A10" s="1"/>
      <c r="B10" s="28"/>
      <c r="C10" s="29" t="s">
        <v>18</v>
      </c>
      <c r="D10" s="30">
        <v>3</v>
      </c>
      <c r="E10" s="23"/>
      <c r="F10" s="8"/>
      <c r="G10" s="8"/>
      <c r="H10" s="8"/>
      <c r="I10" s="8"/>
      <c r="J10" s="8"/>
      <c r="K10" s="8"/>
      <c r="L10" s="8"/>
      <c r="M10" s="9"/>
    </row>
    <row r="11" spans="1:13">
      <c r="A11" s="1"/>
      <c r="B11" s="28"/>
      <c r="C11" s="29" t="s">
        <v>19</v>
      </c>
      <c r="D11" s="30">
        <v>4</v>
      </c>
      <c r="E11" s="23"/>
      <c r="F11" s="8"/>
      <c r="G11" s="8"/>
      <c r="H11" s="8"/>
      <c r="I11" s="8"/>
      <c r="J11" s="8"/>
      <c r="K11" s="8"/>
      <c r="L11" s="8"/>
      <c r="M11" s="9"/>
    </row>
    <row r="12" spans="1:13">
      <c r="A12" s="1"/>
      <c r="B12" s="28"/>
      <c r="C12" s="29" t="s">
        <v>20</v>
      </c>
      <c r="D12" s="30">
        <v>5</v>
      </c>
      <c r="E12" s="23"/>
      <c r="F12" s="8"/>
      <c r="G12" s="8"/>
      <c r="H12" s="8"/>
      <c r="I12" s="8"/>
      <c r="J12" s="8"/>
      <c r="K12" s="8"/>
      <c r="L12" s="8"/>
      <c r="M12" s="9"/>
    </row>
    <row r="13" spans="1:13">
      <c r="A13" s="1"/>
      <c r="B13" s="31" t="s">
        <v>15</v>
      </c>
      <c r="C13" s="32" t="s">
        <v>21</v>
      </c>
      <c r="D13" s="33">
        <v>6</v>
      </c>
      <c r="E13" s="34">
        <f>E14+E15+E16+E17+E18+E19+E20+E21</f>
        <v>0</v>
      </c>
      <c r="F13" s="17">
        <f>F14+F15+F16+F17+F18+F19+F20+F21</f>
        <v>0</v>
      </c>
      <c r="G13" s="17">
        <f t="shared" ref="G13:M13" si="1">G14+G15+G16+G17+G18+G19+G20+G21</f>
        <v>0</v>
      </c>
      <c r="H13" s="17">
        <f t="shared" si="1"/>
        <v>0</v>
      </c>
      <c r="I13" s="17">
        <f t="shared" si="1"/>
        <v>0</v>
      </c>
      <c r="J13" s="17">
        <f t="shared" si="1"/>
        <v>0</v>
      </c>
      <c r="K13" s="17">
        <f t="shared" si="1"/>
        <v>0</v>
      </c>
      <c r="L13" s="17">
        <f t="shared" si="1"/>
        <v>0</v>
      </c>
      <c r="M13" s="18">
        <f t="shared" si="1"/>
        <v>0</v>
      </c>
    </row>
    <row r="14" spans="1:13">
      <c r="A14" s="1"/>
      <c r="B14" s="28"/>
      <c r="C14" s="29" t="s">
        <v>22</v>
      </c>
      <c r="D14" s="30">
        <v>7</v>
      </c>
      <c r="E14" s="23"/>
      <c r="F14" s="8"/>
      <c r="G14" s="8"/>
      <c r="H14" s="8"/>
      <c r="I14" s="8"/>
      <c r="J14" s="8"/>
      <c r="K14" s="8"/>
      <c r="L14" s="8"/>
      <c r="M14" s="9"/>
    </row>
    <row r="15" spans="1:13">
      <c r="A15" s="1"/>
      <c r="B15" s="28"/>
      <c r="C15" s="29" t="s">
        <v>23</v>
      </c>
      <c r="D15" s="30">
        <v>8</v>
      </c>
      <c r="E15" s="23"/>
      <c r="F15" s="8"/>
      <c r="G15" s="8"/>
      <c r="H15" s="8"/>
      <c r="I15" s="8"/>
      <c r="J15" s="8"/>
      <c r="K15" s="8"/>
      <c r="L15" s="8"/>
      <c r="M15" s="9"/>
    </row>
    <row r="16" spans="1:13">
      <c r="A16" s="1"/>
      <c r="B16" s="28"/>
      <c r="C16" s="29" t="s">
        <v>24</v>
      </c>
      <c r="D16" s="30">
        <v>9</v>
      </c>
      <c r="E16" s="23"/>
      <c r="F16" s="8"/>
      <c r="G16" s="8"/>
      <c r="H16" s="8"/>
      <c r="I16" s="8"/>
      <c r="J16" s="8"/>
      <c r="K16" s="8"/>
      <c r="L16" s="8"/>
      <c r="M16" s="9"/>
    </row>
    <row r="17" spans="1:13">
      <c r="A17" s="1"/>
      <c r="B17" s="28"/>
      <c r="C17" s="29" t="s">
        <v>25</v>
      </c>
      <c r="D17" s="30">
        <v>10</v>
      </c>
      <c r="E17" s="23"/>
      <c r="F17" s="8"/>
      <c r="G17" s="8"/>
      <c r="H17" s="8"/>
      <c r="I17" s="8"/>
      <c r="J17" s="8"/>
      <c r="K17" s="8"/>
      <c r="L17" s="8"/>
      <c r="M17" s="9"/>
    </row>
    <row r="18" spans="1:13">
      <c r="A18" s="1"/>
      <c r="B18" s="28"/>
      <c r="C18" s="29" t="s">
        <v>26</v>
      </c>
      <c r="D18" s="30">
        <v>11</v>
      </c>
      <c r="E18" s="23"/>
      <c r="F18" s="8"/>
      <c r="G18" s="8"/>
      <c r="H18" s="8"/>
      <c r="I18" s="8"/>
      <c r="J18" s="8"/>
      <c r="K18" s="8"/>
      <c r="L18" s="8"/>
      <c r="M18" s="9"/>
    </row>
    <row r="19" spans="1:13">
      <c r="B19" s="28"/>
      <c r="C19" s="29" t="s">
        <v>27</v>
      </c>
      <c r="D19" s="30">
        <v>12</v>
      </c>
      <c r="E19" s="23"/>
      <c r="F19" s="10"/>
      <c r="G19" s="10"/>
      <c r="H19" s="10"/>
      <c r="I19" s="10"/>
      <c r="J19" s="10"/>
      <c r="K19" s="10"/>
      <c r="L19" s="10"/>
      <c r="M19" s="11"/>
    </row>
    <row r="20" spans="1:13">
      <c r="B20" s="28"/>
      <c r="C20" s="29" t="s">
        <v>28</v>
      </c>
      <c r="D20" s="30">
        <v>13</v>
      </c>
      <c r="E20" s="23"/>
      <c r="F20" s="10"/>
      <c r="G20" s="10"/>
      <c r="H20" s="10"/>
      <c r="I20" s="10"/>
      <c r="J20" s="10"/>
      <c r="K20" s="10"/>
      <c r="L20" s="10"/>
      <c r="M20" s="11"/>
    </row>
    <row r="21" spans="1:13">
      <c r="B21" s="28"/>
      <c r="C21" s="29" t="s">
        <v>29</v>
      </c>
      <c r="D21" s="30">
        <v>14</v>
      </c>
      <c r="E21" s="23"/>
      <c r="F21" s="10"/>
      <c r="G21" s="10"/>
      <c r="H21" s="10"/>
      <c r="I21" s="10"/>
      <c r="J21" s="10"/>
      <c r="K21" s="10"/>
      <c r="L21" s="10"/>
      <c r="M21" s="11"/>
    </row>
    <row r="22" spans="1:13">
      <c r="B22" s="31" t="s">
        <v>30</v>
      </c>
      <c r="C22" s="32" t="s">
        <v>31</v>
      </c>
      <c r="D22" s="33">
        <v>15</v>
      </c>
      <c r="E22" s="34">
        <f>E8-E13</f>
        <v>0</v>
      </c>
      <c r="F22" s="19">
        <f>F8-F13</f>
        <v>0</v>
      </c>
      <c r="G22" s="19">
        <f t="shared" ref="G22:M22" si="2">G8-G13</f>
        <v>0</v>
      </c>
      <c r="H22" s="19">
        <f t="shared" si="2"/>
        <v>0</v>
      </c>
      <c r="I22" s="19">
        <f t="shared" si="2"/>
        <v>0</v>
      </c>
      <c r="J22" s="19">
        <f t="shared" si="2"/>
        <v>0</v>
      </c>
      <c r="K22" s="19">
        <f t="shared" si="2"/>
        <v>0</v>
      </c>
      <c r="L22" s="19">
        <f t="shared" si="2"/>
        <v>0</v>
      </c>
      <c r="M22" s="20">
        <f t="shared" si="2"/>
        <v>0</v>
      </c>
    </row>
    <row r="23" spans="1:13">
      <c r="B23" s="28"/>
      <c r="C23" s="29" t="s">
        <v>32</v>
      </c>
      <c r="D23" s="30">
        <v>16</v>
      </c>
      <c r="E23" s="23"/>
      <c r="F23" s="10"/>
      <c r="G23" s="10"/>
      <c r="H23" s="10"/>
      <c r="I23" s="10"/>
      <c r="J23" s="10"/>
      <c r="K23" s="10"/>
      <c r="L23" s="10"/>
      <c r="M23" s="11"/>
    </row>
    <row r="24" spans="1:13">
      <c r="B24" s="28"/>
      <c r="C24" s="29" t="s">
        <v>33</v>
      </c>
      <c r="D24" s="30">
        <v>17</v>
      </c>
      <c r="E24" s="23"/>
      <c r="F24" s="10"/>
      <c r="G24" s="10"/>
      <c r="H24" s="10"/>
      <c r="I24" s="10"/>
      <c r="J24" s="10"/>
      <c r="K24" s="10"/>
      <c r="L24" s="10"/>
      <c r="M24" s="11"/>
    </row>
    <row r="25" spans="1:13">
      <c r="B25" s="31" t="s">
        <v>34</v>
      </c>
      <c r="C25" s="32" t="s">
        <v>35</v>
      </c>
      <c r="D25" s="33">
        <v>18</v>
      </c>
      <c r="E25" s="34">
        <f>E22+E23+E24</f>
        <v>0</v>
      </c>
      <c r="F25" s="19">
        <f>F22+F23+F24</f>
        <v>0</v>
      </c>
      <c r="G25" s="19">
        <f t="shared" ref="G25:M25" si="3">G22+G23+G24</f>
        <v>0</v>
      </c>
      <c r="H25" s="19">
        <f t="shared" si="3"/>
        <v>0</v>
      </c>
      <c r="I25" s="19">
        <f t="shared" si="3"/>
        <v>0</v>
      </c>
      <c r="J25" s="19">
        <f t="shared" si="3"/>
        <v>0</v>
      </c>
      <c r="K25" s="19">
        <f t="shared" si="3"/>
        <v>0</v>
      </c>
      <c r="L25" s="19">
        <f t="shared" si="3"/>
        <v>0</v>
      </c>
      <c r="M25" s="20">
        <f t="shared" si="3"/>
        <v>0</v>
      </c>
    </row>
    <row r="26" spans="1:13">
      <c r="B26" s="31" t="s">
        <v>36</v>
      </c>
      <c r="C26" s="32" t="s">
        <v>37</v>
      </c>
      <c r="D26" s="33">
        <v>19</v>
      </c>
      <c r="E26" s="34">
        <f>E27+E28</f>
        <v>0</v>
      </c>
      <c r="F26" s="19">
        <f>F27+F28</f>
        <v>0</v>
      </c>
      <c r="G26" s="19">
        <f t="shared" ref="G26:M26" si="4">G27+G28</f>
        <v>0</v>
      </c>
      <c r="H26" s="19">
        <f t="shared" si="4"/>
        <v>0</v>
      </c>
      <c r="I26" s="19">
        <f t="shared" si="4"/>
        <v>0</v>
      </c>
      <c r="J26" s="19">
        <f t="shared" si="4"/>
        <v>0</v>
      </c>
      <c r="K26" s="19">
        <f t="shared" si="4"/>
        <v>0</v>
      </c>
      <c r="L26" s="19">
        <f t="shared" si="4"/>
        <v>0</v>
      </c>
      <c r="M26" s="20">
        <f t="shared" si="4"/>
        <v>0</v>
      </c>
    </row>
    <row r="27" spans="1:13">
      <c r="B27" s="28"/>
      <c r="C27" s="29" t="s">
        <v>38</v>
      </c>
      <c r="D27" s="30">
        <v>20</v>
      </c>
      <c r="E27" s="23"/>
      <c r="F27" s="10"/>
      <c r="G27" s="10"/>
      <c r="H27" s="10"/>
      <c r="I27" s="10"/>
      <c r="J27" s="10"/>
      <c r="K27" s="10"/>
      <c r="L27" s="10"/>
      <c r="M27" s="11"/>
    </row>
    <row r="28" spans="1:13">
      <c r="B28" s="28"/>
      <c r="C28" s="29" t="s">
        <v>39</v>
      </c>
      <c r="D28" s="30">
        <v>21</v>
      </c>
      <c r="E28" s="23"/>
      <c r="F28" s="10"/>
      <c r="G28" s="10"/>
      <c r="H28" s="10"/>
      <c r="I28" s="10"/>
      <c r="J28" s="10"/>
      <c r="K28" s="10"/>
      <c r="L28" s="10"/>
      <c r="M28" s="11"/>
    </row>
    <row r="29" spans="1:13">
      <c r="B29" s="31" t="s">
        <v>36</v>
      </c>
      <c r="C29" s="32" t="s">
        <v>40</v>
      </c>
      <c r="D29" s="33">
        <v>22</v>
      </c>
      <c r="E29" s="34">
        <f>E30+E31</f>
        <v>0</v>
      </c>
      <c r="F29" s="19">
        <f>F30+F31</f>
        <v>0</v>
      </c>
      <c r="G29" s="19">
        <f t="shared" ref="G29:M29" si="5">G30+G31</f>
        <v>0</v>
      </c>
      <c r="H29" s="19">
        <f t="shared" si="5"/>
        <v>0</v>
      </c>
      <c r="I29" s="19">
        <f t="shared" si="5"/>
        <v>0</v>
      </c>
      <c r="J29" s="19">
        <f t="shared" si="5"/>
        <v>0</v>
      </c>
      <c r="K29" s="19">
        <f t="shared" si="5"/>
        <v>0</v>
      </c>
      <c r="L29" s="19">
        <f t="shared" si="5"/>
        <v>0</v>
      </c>
      <c r="M29" s="20">
        <f t="shared" si="5"/>
        <v>0</v>
      </c>
    </row>
    <row r="30" spans="1:13">
      <c r="B30" s="28"/>
      <c r="C30" s="29" t="s">
        <v>38</v>
      </c>
      <c r="D30" s="30">
        <v>23</v>
      </c>
      <c r="E30" s="23"/>
      <c r="F30" s="10"/>
      <c r="G30" s="10"/>
      <c r="H30" s="10"/>
      <c r="I30" s="10"/>
      <c r="J30" s="10"/>
      <c r="K30" s="10"/>
      <c r="L30" s="10"/>
      <c r="M30" s="11"/>
    </row>
    <row r="31" spans="1:13">
      <c r="B31" s="28"/>
      <c r="C31" s="29" t="s">
        <v>39</v>
      </c>
      <c r="D31" s="30">
        <v>24</v>
      </c>
      <c r="E31" s="23"/>
      <c r="F31" s="10"/>
      <c r="G31" s="10"/>
      <c r="H31" s="10"/>
      <c r="I31" s="10"/>
      <c r="J31" s="10"/>
      <c r="K31" s="10"/>
      <c r="L31" s="10"/>
      <c r="M31" s="11"/>
    </row>
    <row r="32" spans="1:13">
      <c r="B32" s="31" t="s">
        <v>41</v>
      </c>
      <c r="C32" s="32" t="s">
        <v>42</v>
      </c>
      <c r="D32" s="33">
        <v>25</v>
      </c>
      <c r="E32" s="34">
        <f>E25+E26-E29</f>
        <v>0</v>
      </c>
      <c r="F32" s="19">
        <f>F25+F26-F29</f>
        <v>0</v>
      </c>
      <c r="G32" s="19">
        <f t="shared" ref="G32:M32" si="6">G25+G26-G29</f>
        <v>0</v>
      </c>
      <c r="H32" s="19">
        <f t="shared" si="6"/>
        <v>0</v>
      </c>
      <c r="I32" s="19">
        <f t="shared" si="6"/>
        <v>0</v>
      </c>
      <c r="J32" s="19">
        <f t="shared" si="6"/>
        <v>0</v>
      </c>
      <c r="K32" s="19">
        <f t="shared" si="6"/>
        <v>0</v>
      </c>
      <c r="L32" s="19">
        <f t="shared" si="6"/>
        <v>0</v>
      </c>
      <c r="M32" s="20">
        <f t="shared" si="6"/>
        <v>0</v>
      </c>
    </row>
    <row r="33" spans="2:13">
      <c r="B33" s="28"/>
      <c r="C33" s="29" t="s">
        <v>43</v>
      </c>
      <c r="D33" s="30">
        <v>26</v>
      </c>
      <c r="E33" s="23"/>
      <c r="F33" s="10"/>
      <c r="G33" s="10"/>
      <c r="H33" s="10"/>
      <c r="I33" s="10"/>
      <c r="J33" s="10"/>
      <c r="K33" s="10"/>
      <c r="L33" s="10"/>
      <c r="M33" s="11"/>
    </row>
    <row r="34" spans="2:13">
      <c r="B34" s="31" t="s">
        <v>44</v>
      </c>
      <c r="C34" s="32" t="s">
        <v>45</v>
      </c>
      <c r="D34" s="33">
        <v>27</v>
      </c>
      <c r="E34" s="34">
        <f>E32+E33</f>
        <v>0</v>
      </c>
      <c r="F34" s="19">
        <f>F32+F33</f>
        <v>0</v>
      </c>
      <c r="G34" s="19">
        <f t="shared" ref="G34:M34" si="7">G32+G33</f>
        <v>0</v>
      </c>
      <c r="H34" s="19">
        <f t="shared" si="7"/>
        <v>0</v>
      </c>
      <c r="I34" s="19">
        <f t="shared" si="7"/>
        <v>0</v>
      </c>
      <c r="J34" s="19">
        <f t="shared" si="7"/>
        <v>0</v>
      </c>
      <c r="K34" s="19">
        <f t="shared" si="7"/>
        <v>0</v>
      </c>
      <c r="L34" s="19">
        <f t="shared" si="7"/>
        <v>0</v>
      </c>
      <c r="M34" s="20">
        <f t="shared" si="7"/>
        <v>0</v>
      </c>
    </row>
    <row r="35" spans="2:13">
      <c r="B35" s="35"/>
      <c r="C35" s="29" t="s">
        <v>46</v>
      </c>
      <c r="D35" s="30">
        <v>28</v>
      </c>
      <c r="E35" s="23"/>
      <c r="F35" s="10"/>
      <c r="G35" s="10"/>
      <c r="H35" s="10"/>
      <c r="I35" s="10"/>
      <c r="J35" s="10"/>
      <c r="K35" s="10"/>
      <c r="L35" s="10"/>
      <c r="M35" s="11"/>
    </row>
    <row r="36" spans="2:13" ht="15" thickBot="1">
      <c r="B36" s="36" t="s">
        <v>14</v>
      </c>
      <c r="C36" s="37" t="s">
        <v>47</v>
      </c>
      <c r="D36" s="38">
        <v>29</v>
      </c>
      <c r="E36" s="39">
        <f>E34-E35</f>
        <v>0</v>
      </c>
      <c r="F36" s="21">
        <f>F34-F35</f>
        <v>0</v>
      </c>
      <c r="G36" s="21">
        <f>G34-G35</f>
        <v>0</v>
      </c>
      <c r="H36" s="21">
        <f t="shared" ref="H36:M36" si="8">H34-H35</f>
        <v>0</v>
      </c>
      <c r="I36" s="21">
        <f t="shared" si="8"/>
        <v>0</v>
      </c>
      <c r="J36" s="21">
        <f t="shared" si="8"/>
        <v>0</v>
      </c>
      <c r="K36" s="21">
        <f t="shared" si="8"/>
        <v>0</v>
      </c>
      <c r="L36" s="21">
        <f t="shared" si="8"/>
        <v>0</v>
      </c>
      <c r="M36" s="22">
        <f t="shared" si="8"/>
        <v>0</v>
      </c>
    </row>
  </sheetData>
  <sheetProtection password="EEAB" sheet="1" objects="1" scenarios="1"/>
  <mergeCells count="2">
    <mergeCell ref="B6:B7"/>
    <mergeCell ref="C6:C7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Rachunek zysków i strat</vt:lpstr>
      <vt:lpstr>'Rachunek zysków i strat'!Obszar_wydruku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Michał Kotulski</cp:lastModifiedBy>
  <cp:lastPrinted>2002-02-19T14:25:42Z</cp:lastPrinted>
  <dcterms:created xsi:type="dcterms:W3CDTF">2002-02-17T06:14:28Z</dcterms:created>
  <dcterms:modified xsi:type="dcterms:W3CDTF">2026-03-11T18:45:49Z</dcterms:modified>
</cp:coreProperties>
</file>